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<sst xmlns="http://schemas.openxmlformats.org/spreadsheetml/2006/main" count="27" uniqueCount="9">
  <si>
    <t>wpm</t>
  </si>
  <si>
    <t>Count</t>
  </si>
  <si>
    <t>Cumulative count</t>
  </si>
  <si>
    <t>Total count</t>
  </si>
  <si>
    <t>Percentile</t>
  </si>
  <si>
    <t>Percentile count</t>
  </si>
  <si>
    <t>Percentile wpm</t>
  </si>
  <si>
    <t>Percentile rank</t>
  </si>
  <si>
    <t>Debounce 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</si>
</sst>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Sheet1!$A$2:$A$42</c:f>
            </c:strRef>
          </c:cat>
          <c:val>
            <c:numRef>
              <c:f>Sheet1!$B$2:$B$42</c:f>
              <c:numCache/>
            </c:numRef>
          </c:val>
          <c:smooth val="0"/>
        </c:ser>
        <c:axId val="1419716901"/>
        <c:axId val="1477583622"/>
      </c:lineChart>
      <c:catAx>
        <c:axId val="14197169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7583622"/>
      </c:catAx>
      <c:valAx>
        <c:axId val="14775836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97169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Sheet2!$A$2:$A$42</c:f>
            </c:strRef>
          </c:cat>
          <c:val>
            <c:numRef>
              <c:f>Sheet2!$B$2:$B$42</c:f>
              <c:numCache/>
            </c:numRef>
          </c:val>
          <c:smooth val="0"/>
        </c:ser>
        <c:axId val="486476958"/>
        <c:axId val="99448859"/>
      </c:lineChart>
      <c:catAx>
        <c:axId val="4864769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448859"/>
      </c:catAx>
      <c:valAx>
        <c:axId val="994488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64769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Sheet3!$A$2:$A$42</c:f>
            </c:strRef>
          </c:cat>
          <c:val>
            <c:numRef>
              <c:f>Sheet3!$B$2:$B$42</c:f>
              <c:numCache/>
            </c:numRef>
          </c:val>
          <c:smooth val="0"/>
        </c:ser>
        <c:axId val="1935438183"/>
        <c:axId val="1364713114"/>
      </c:lineChart>
      <c:catAx>
        <c:axId val="19354381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4713114"/>
      </c:catAx>
      <c:valAx>
        <c:axId val="13647131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54381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609600</xdr:colOff>
      <xdr:row>18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609600</xdr:colOff>
      <xdr:row>18</xdr:row>
      <xdr:rowOff>190500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609600</xdr:colOff>
      <xdr:row>18</xdr:row>
      <xdr:rowOff>190500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F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>
      <c r="A2" s="1">
        <v>0.0</v>
      </c>
      <c r="B2" s="1">
        <v>379.0</v>
      </c>
      <c r="C2" s="2">
        <f t="shared" ref="C2:C41" si="1">SUM(B$2:B2)</f>
        <v>379</v>
      </c>
      <c r="F2" s="2">
        <f>SUM(B2:B41)</f>
        <v>22148</v>
      </c>
      <c r="H2" s="1">
        <v>20.0</v>
      </c>
      <c r="I2" s="2">
        <f t="shared" ref="I2:I6" si="2">$F$2*(H2/100)</f>
        <v>4429.6</v>
      </c>
      <c r="J2" s="3">
        <f t="shared" ref="J2:J6" si="3">SMALL($A$2:$A$41,FLOOR(K2,1)) + (SMALL($A$2:$A$41,CEILING(K2,1)) - SMALL($A$2:$A$41,FLOOR(K2,1))) * (K2 - FLOOR(K2,1))</f>
        <v>24</v>
      </c>
      <c r="K2" s="2">
        <f t="shared" ref="K2:K6" si="4">IFERROR(RANK(I2,$C$2:$C$41,1),PERCENTRANK($C$2:$C$41,I2)*COUNT($C$2:$C$41) + 1)</f>
        <v>3.4</v>
      </c>
      <c r="L2" s="2">
        <f t="shared" ref="L2:L6" si="5">1/(((J2*5)/60)/1000)</f>
        <v>500</v>
      </c>
    </row>
    <row r="3">
      <c r="A3" s="1">
        <v>10.0</v>
      </c>
      <c r="B3" s="1">
        <v>847.0</v>
      </c>
      <c r="C3" s="2">
        <f t="shared" si="1"/>
        <v>1226</v>
      </c>
      <c r="H3" s="1">
        <v>30.0</v>
      </c>
      <c r="I3" s="2">
        <f t="shared" si="2"/>
        <v>6644.4</v>
      </c>
      <c r="J3" s="3">
        <f t="shared" si="3"/>
        <v>31.2</v>
      </c>
      <c r="K3" s="2">
        <f t="shared" si="4"/>
        <v>4.12</v>
      </c>
      <c r="L3" s="2">
        <f t="shared" si="5"/>
        <v>384.6153846</v>
      </c>
    </row>
    <row r="4">
      <c r="A4" s="1">
        <v>20.0</v>
      </c>
      <c r="B4" s="1">
        <v>2105.0</v>
      </c>
      <c r="C4" s="2">
        <f t="shared" si="1"/>
        <v>3331</v>
      </c>
      <c r="H4" s="1">
        <v>40.0</v>
      </c>
      <c r="I4" s="2">
        <f t="shared" si="2"/>
        <v>8859.2</v>
      </c>
      <c r="J4" s="3">
        <f t="shared" si="3"/>
        <v>37.6</v>
      </c>
      <c r="K4" s="2">
        <f t="shared" si="4"/>
        <v>4.76</v>
      </c>
      <c r="L4" s="2">
        <f t="shared" si="5"/>
        <v>319.1489362</v>
      </c>
    </row>
    <row r="5">
      <c r="A5" s="1">
        <v>30.0</v>
      </c>
      <c r="B5" s="1">
        <v>3133.0</v>
      </c>
      <c r="C5" s="2">
        <f t="shared" si="1"/>
        <v>6464</v>
      </c>
      <c r="H5" s="1">
        <f>(C6/F2)*100</f>
        <v>45.09662272</v>
      </c>
      <c r="I5" s="2">
        <f t="shared" si="2"/>
        <v>9988</v>
      </c>
      <c r="J5" s="3">
        <f t="shared" si="3"/>
        <v>40</v>
      </c>
      <c r="K5" s="2">
        <f t="shared" si="4"/>
        <v>5</v>
      </c>
      <c r="L5" s="2">
        <f t="shared" si="5"/>
        <v>300</v>
      </c>
    </row>
    <row r="6">
      <c r="A6" s="1">
        <v>40.0</v>
      </c>
      <c r="B6" s="1">
        <v>3524.0</v>
      </c>
      <c r="C6" s="2">
        <f t="shared" si="1"/>
        <v>9988</v>
      </c>
      <c r="H6" s="1">
        <v>50.0</v>
      </c>
      <c r="I6" s="2">
        <f t="shared" si="2"/>
        <v>11074</v>
      </c>
      <c r="J6" s="3">
        <f t="shared" si="3"/>
        <v>44.4</v>
      </c>
      <c r="K6" s="2">
        <f t="shared" si="4"/>
        <v>5.44</v>
      </c>
      <c r="L6" s="2">
        <f t="shared" si="5"/>
        <v>270.2702703</v>
      </c>
    </row>
    <row r="7">
      <c r="A7" s="1">
        <v>50.0</v>
      </c>
      <c r="B7" s="1">
        <v>3290.0</v>
      </c>
      <c r="C7" s="2">
        <f t="shared" si="1"/>
        <v>13278</v>
      </c>
    </row>
    <row r="8">
      <c r="A8" s="1">
        <v>60.0</v>
      </c>
      <c r="B8" s="1">
        <v>2820.0</v>
      </c>
      <c r="C8" s="2">
        <f t="shared" si="1"/>
        <v>16098</v>
      </c>
    </row>
    <row r="9">
      <c r="A9" s="1">
        <v>70.0</v>
      </c>
      <c r="B9" s="1">
        <v>2105.0</v>
      </c>
      <c r="C9" s="2">
        <f t="shared" si="1"/>
        <v>18203</v>
      </c>
    </row>
    <row r="10">
      <c r="A10" s="1">
        <v>80.0</v>
      </c>
      <c r="B10" s="1">
        <v>1620.0</v>
      </c>
      <c r="C10" s="2">
        <f t="shared" si="1"/>
        <v>19823</v>
      </c>
    </row>
    <row r="11">
      <c r="A11" s="1">
        <v>90.0</v>
      </c>
      <c r="B11" s="1">
        <v>1022.0</v>
      </c>
      <c r="C11" s="2">
        <f t="shared" si="1"/>
        <v>20845</v>
      </c>
    </row>
    <row r="12">
      <c r="A12" s="1">
        <v>100.0</v>
      </c>
      <c r="B12" s="1">
        <v>672.0</v>
      </c>
      <c r="C12" s="2">
        <f t="shared" si="1"/>
        <v>21517</v>
      </c>
    </row>
    <row r="13">
      <c r="A13" s="1">
        <v>110.0</v>
      </c>
      <c r="B13" s="1">
        <v>349.0</v>
      </c>
      <c r="C13" s="2">
        <f t="shared" si="1"/>
        <v>21866</v>
      </c>
    </row>
    <row r="14">
      <c r="A14" s="1">
        <v>120.0</v>
      </c>
      <c r="B14" s="1">
        <v>178.0</v>
      </c>
      <c r="C14" s="2">
        <f t="shared" si="1"/>
        <v>22044</v>
      </c>
    </row>
    <row r="15">
      <c r="A15" s="1">
        <v>130.0</v>
      </c>
      <c r="B15" s="1">
        <v>56.0</v>
      </c>
      <c r="C15" s="2">
        <f t="shared" si="1"/>
        <v>22100</v>
      </c>
    </row>
    <row r="16">
      <c r="A16" s="1">
        <v>140.0</v>
      </c>
      <c r="B16" s="1">
        <v>22.0</v>
      </c>
      <c r="C16" s="2">
        <f t="shared" si="1"/>
        <v>22122</v>
      </c>
    </row>
    <row r="17">
      <c r="A17" s="1">
        <v>150.0</v>
      </c>
      <c r="B17" s="1">
        <v>13.0</v>
      </c>
      <c r="C17" s="2">
        <f t="shared" si="1"/>
        <v>22135</v>
      </c>
    </row>
    <row r="18">
      <c r="A18" s="1">
        <v>160.0</v>
      </c>
      <c r="B18" s="1">
        <v>4.0</v>
      </c>
      <c r="C18" s="2">
        <f t="shared" si="1"/>
        <v>22139</v>
      </c>
    </row>
    <row r="19">
      <c r="A19" s="1">
        <v>170.0</v>
      </c>
      <c r="B19" s="1">
        <v>2.0</v>
      </c>
      <c r="C19" s="2">
        <f t="shared" si="1"/>
        <v>22141</v>
      </c>
    </row>
    <row r="20">
      <c r="A20" s="1">
        <v>180.0</v>
      </c>
      <c r="B20" s="1">
        <v>2.0</v>
      </c>
      <c r="C20" s="2">
        <f t="shared" si="1"/>
        <v>22143</v>
      </c>
    </row>
    <row r="21">
      <c r="A21" s="1">
        <v>190.0</v>
      </c>
      <c r="B21" s="1">
        <v>0.0</v>
      </c>
      <c r="C21" s="2">
        <f t="shared" si="1"/>
        <v>22143</v>
      </c>
    </row>
    <row r="22">
      <c r="A22" s="1">
        <v>200.0</v>
      </c>
      <c r="B22" s="1">
        <v>0.0</v>
      </c>
      <c r="C22" s="2">
        <f t="shared" si="1"/>
        <v>22143</v>
      </c>
    </row>
    <row r="23">
      <c r="A23" s="1">
        <v>210.0</v>
      </c>
      <c r="B23" s="1">
        <v>0.0</v>
      </c>
      <c r="C23" s="2">
        <f t="shared" si="1"/>
        <v>22143</v>
      </c>
    </row>
    <row r="24">
      <c r="A24" s="1">
        <v>220.0</v>
      </c>
      <c r="B24" s="1">
        <v>1.0</v>
      </c>
      <c r="C24" s="2">
        <f t="shared" si="1"/>
        <v>22144</v>
      </c>
    </row>
    <row r="25">
      <c r="A25" s="1">
        <v>230.0</v>
      </c>
      <c r="B25" s="1">
        <v>0.0</v>
      </c>
      <c r="C25" s="2">
        <f t="shared" si="1"/>
        <v>22144</v>
      </c>
    </row>
    <row r="26">
      <c r="A26" s="1">
        <v>240.0</v>
      </c>
      <c r="B26" s="1">
        <v>0.0</v>
      </c>
      <c r="C26" s="2">
        <f t="shared" si="1"/>
        <v>22144</v>
      </c>
    </row>
    <row r="27">
      <c r="A27" s="1">
        <v>250.0</v>
      </c>
      <c r="B27" s="1">
        <v>0.0</v>
      </c>
      <c r="C27" s="2">
        <f t="shared" si="1"/>
        <v>22144</v>
      </c>
    </row>
    <row r="28">
      <c r="A28" s="1">
        <v>260.0</v>
      </c>
      <c r="B28" s="1">
        <v>0.0</v>
      </c>
      <c r="C28" s="2">
        <f t="shared" si="1"/>
        <v>22144</v>
      </c>
    </row>
    <row r="29">
      <c r="A29" s="1">
        <v>270.0</v>
      </c>
      <c r="B29" s="1">
        <v>0.0</v>
      </c>
      <c r="C29" s="2">
        <f t="shared" si="1"/>
        <v>22144</v>
      </c>
    </row>
    <row r="30">
      <c r="A30" s="1">
        <v>280.0</v>
      </c>
      <c r="B30" s="1">
        <v>0.0</v>
      </c>
      <c r="C30" s="2">
        <f t="shared" si="1"/>
        <v>22144</v>
      </c>
    </row>
    <row r="31">
      <c r="A31" s="1">
        <v>290.0</v>
      </c>
      <c r="B31" s="1">
        <v>0.0</v>
      </c>
      <c r="C31" s="2">
        <f t="shared" si="1"/>
        <v>22144</v>
      </c>
    </row>
    <row r="32">
      <c r="A32" s="1">
        <v>300.0</v>
      </c>
      <c r="B32" s="1">
        <v>1.0</v>
      </c>
      <c r="C32" s="2">
        <f t="shared" si="1"/>
        <v>22145</v>
      </c>
    </row>
    <row r="33">
      <c r="A33" s="1">
        <v>310.0</v>
      </c>
      <c r="B33" s="1">
        <v>0.0</v>
      </c>
      <c r="C33" s="2">
        <f t="shared" si="1"/>
        <v>22145</v>
      </c>
    </row>
    <row r="34">
      <c r="A34" s="1">
        <v>320.0</v>
      </c>
      <c r="B34" s="1">
        <v>0.0</v>
      </c>
      <c r="C34" s="2">
        <f t="shared" si="1"/>
        <v>22145</v>
      </c>
    </row>
    <row r="35">
      <c r="A35" s="1">
        <v>330.0</v>
      </c>
      <c r="B35" s="1">
        <v>0.0</v>
      </c>
      <c r="C35" s="2">
        <f t="shared" si="1"/>
        <v>22145</v>
      </c>
    </row>
    <row r="36">
      <c r="A36" s="1">
        <v>340.0</v>
      </c>
      <c r="B36" s="1">
        <v>1.0</v>
      </c>
      <c r="C36" s="2">
        <f t="shared" si="1"/>
        <v>22146</v>
      </c>
    </row>
    <row r="37">
      <c r="A37" s="1">
        <v>350.0</v>
      </c>
      <c r="B37" s="1">
        <v>0.0</v>
      </c>
      <c r="C37" s="2">
        <f t="shared" si="1"/>
        <v>22146</v>
      </c>
    </row>
    <row r="38">
      <c r="A38" s="1">
        <v>360.0</v>
      </c>
      <c r="B38" s="1">
        <v>1.0</v>
      </c>
      <c r="C38" s="2">
        <f t="shared" si="1"/>
        <v>22147</v>
      </c>
    </row>
    <row r="39">
      <c r="A39" s="1">
        <v>370.0</v>
      </c>
      <c r="B39" s="1">
        <v>1.0</v>
      </c>
      <c r="C39" s="2">
        <f t="shared" si="1"/>
        <v>22148</v>
      </c>
    </row>
    <row r="40">
      <c r="A40" s="1">
        <v>380.0</v>
      </c>
      <c r="B40" s="1">
        <v>0.0</v>
      </c>
      <c r="C40" s="2">
        <f t="shared" si="1"/>
        <v>22148</v>
      </c>
    </row>
    <row r="41">
      <c r="A41" s="1">
        <v>390.0</v>
      </c>
      <c r="B41" s="1">
        <v>0.0</v>
      </c>
      <c r="C41" s="2">
        <f t="shared" si="1"/>
        <v>22148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F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>
      <c r="A2" s="1">
        <v>0.0</v>
      </c>
      <c r="B2" s="1">
        <v>379.0</v>
      </c>
      <c r="C2" s="2">
        <f t="shared" ref="C2:C41" si="1">SUM(B$2:B2)</f>
        <v>379</v>
      </c>
      <c r="F2" s="2">
        <f>SUM(B2:B41)</f>
        <v>22148</v>
      </c>
      <c r="H2" s="1">
        <v>20.0</v>
      </c>
      <c r="I2" s="2">
        <f t="shared" ref="I2:I6" si="2">$F$2*(H2/100)</f>
        <v>4429.6</v>
      </c>
      <c r="J2" s="3">
        <f t="shared" ref="J2:J6" si="3">SMALL($A$2:$A$41,FLOOR(K2,1)) + (SMALL($A$2:$A$41,CEILING(K2,1)) - SMALL($A$2:$A$41,FLOOR(K2,1))) * (K2 - FLOOR(K2,1))</f>
        <v>24</v>
      </c>
      <c r="K2" s="2">
        <f t="shared" ref="K2:K6" si="4">IFERROR(RANK(I2,$C$2:$C$41,1),PERCENTRANK($C$2:$C$41,I2)*COUNT($C$2:$C$41) + 1)</f>
        <v>3.4</v>
      </c>
      <c r="L2" s="2">
        <f t="shared" ref="L2:L6" si="5">1/(((J2*5)/60)/1000)</f>
        <v>500</v>
      </c>
    </row>
    <row r="3">
      <c r="A3" s="1">
        <v>10.0</v>
      </c>
      <c r="B3" s="1">
        <v>847.0</v>
      </c>
      <c r="C3" s="2">
        <f t="shared" si="1"/>
        <v>1226</v>
      </c>
      <c r="H3" s="1">
        <v>30.0</v>
      </c>
      <c r="I3" s="2">
        <f t="shared" si="2"/>
        <v>6644.4</v>
      </c>
      <c r="J3" s="3">
        <f t="shared" si="3"/>
        <v>31.2</v>
      </c>
      <c r="K3" s="2">
        <f t="shared" si="4"/>
        <v>4.12</v>
      </c>
      <c r="L3" s="2">
        <f t="shared" si="5"/>
        <v>384.6153846</v>
      </c>
    </row>
    <row r="4">
      <c r="A4" s="1">
        <v>20.0</v>
      </c>
      <c r="B4" s="1">
        <v>2105.0</v>
      </c>
      <c r="C4" s="2">
        <f t="shared" si="1"/>
        <v>3331</v>
      </c>
      <c r="H4" s="1">
        <v>40.0</v>
      </c>
      <c r="I4" s="2">
        <f t="shared" si="2"/>
        <v>8859.2</v>
      </c>
      <c r="J4" s="3">
        <f t="shared" si="3"/>
        <v>37.6</v>
      </c>
      <c r="K4" s="2">
        <f t="shared" si="4"/>
        <v>4.76</v>
      </c>
      <c r="L4" s="2">
        <f t="shared" si="5"/>
        <v>319.1489362</v>
      </c>
    </row>
    <row r="5">
      <c r="A5" s="1">
        <v>30.0</v>
      </c>
      <c r="B5" s="1">
        <v>3133.0</v>
      </c>
      <c r="C5" s="2">
        <f t="shared" si="1"/>
        <v>6464</v>
      </c>
      <c r="H5" s="1">
        <f>(C6/F2)*100</f>
        <v>45.09662272</v>
      </c>
      <c r="I5" s="2">
        <f t="shared" si="2"/>
        <v>9988</v>
      </c>
      <c r="J5" s="3">
        <f t="shared" si="3"/>
        <v>40</v>
      </c>
      <c r="K5" s="2">
        <f t="shared" si="4"/>
        <v>5</v>
      </c>
      <c r="L5" s="2">
        <f t="shared" si="5"/>
        <v>300</v>
      </c>
    </row>
    <row r="6">
      <c r="A6" s="1">
        <v>40.0</v>
      </c>
      <c r="B6" s="1">
        <v>3524.0</v>
      </c>
      <c r="C6" s="2">
        <f t="shared" si="1"/>
        <v>9988</v>
      </c>
      <c r="H6" s="1">
        <v>50.0</v>
      </c>
      <c r="I6" s="2">
        <f t="shared" si="2"/>
        <v>11074</v>
      </c>
      <c r="J6" s="3">
        <f t="shared" si="3"/>
        <v>44.4</v>
      </c>
      <c r="K6" s="2">
        <f t="shared" si="4"/>
        <v>5.44</v>
      </c>
      <c r="L6" s="2">
        <f t="shared" si="5"/>
        <v>270.2702703</v>
      </c>
    </row>
    <row r="7">
      <c r="A7" s="1">
        <v>50.0</v>
      </c>
      <c r="B7" s="1">
        <v>3290.0</v>
      </c>
      <c r="C7" s="2">
        <f t="shared" si="1"/>
        <v>13278</v>
      </c>
    </row>
    <row r="8">
      <c r="A8" s="1">
        <v>60.0</v>
      </c>
      <c r="B8" s="1">
        <v>2820.0</v>
      </c>
      <c r="C8" s="2">
        <f t="shared" si="1"/>
        <v>16098</v>
      </c>
    </row>
    <row r="9">
      <c r="A9" s="1">
        <v>70.0</v>
      </c>
      <c r="B9" s="1">
        <v>2105.0</v>
      </c>
      <c r="C9" s="2">
        <f t="shared" si="1"/>
        <v>18203</v>
      </c>
    </row>
    <row r="10">
      <c r="A10" s="1">
        <v>80.0</v>
      </c>
      <c r="B10" s="1">
        <v>1620.0</v>
      </c>
      <c r="C10" s="2">
        <f t="shared" si="1"/>
        <v>19823</v>
      </c>
    </row>
    <row r="11">
      <c r="A11" s="1">
        <v>90.0</v>
      </c>
      <c r="B11" s="1">
        <v>1022.0</v>
      </c>
      <c r="C11" s="2">
        <f t="shared" si="1"/>
        <v>20845</v>
      </c>
    </row>
    <row r="12">
      <c r="A12" s="1">
        <v>100.0</v>
      </c>
      <c r="B12" s="1">
        <v>672.0</v>
      </c>
      <c r="C12" s="2">
        <f t="shared" si="1"/>
        <v>21517</v>
      </c>
    </row>
    <row r="13">
      <c r="A13" s="1">
        <v>110.0</v>
      </c>
      <c r="B13" s="1">
        <v>349.0</v>
      </c>
      <c r="C13" s="2">
        <f t="shared" si="1"/>
        <v>21866</v>
      </c>
    </row>
    <row r="14">
      <c r="A14" s="1">
        <v>120.0</v>
      </c>
      <c r="B14" s="1">
        <v>178.0</v>
      </c>
      <c r="C14" s="2">
        <f t="shared" si="1"/>
        <v>22044</v>
      </c>
    </row>
    <row r="15">
      <c r="A15" s="1">
        <v>130.0</v>
      </c>
      <c r="B15" s="1">
        <v>56.0</v>
      </c>
      <c r="C15" s="2">
        <f t="shared" si="1"/>
        <v>22100</v>
      </c>
    </row>
    <row r="16">
      <c r="A16" s="1">
        <v>140.0</v>
      </c>
      <c r="B16" s="1">
        <v>22.0</v>
      </c>
      <c r="C16" s="2">
        <f t="shared" si="1"/>
        <v>22122</v>
      </c>
    </row>
    <row r="17">
      <c r="A17" s="1">
        <v>150.0</v>
      </c>
      <c r="B17" s="1">
        <v>13.0</v>
      </c>
      <c r="C17" s="2">
        <f t="shared" si="1"/>
        <v>22135</v>
      </c>
    </row>
    <row r="18">
      <c r="A18" s="1">
        <v>160.0</v>
      </c>
      <c r="B18" s="1">
        <v>4.0</v>
      </c>
      <c r="C18" s="2">
        <f t="shared" si="1"/>
        <v>22139</v>
      </c>
    </row>
    <row r="19">
      <c r="A19" s="1">
        <v>170.0</v>
      </c>
      <c r="B19" s="1">
        <v>2.0</v>
      </c>
      <c r="C19" s="2">
        <f t="shared" si="1"/>
        <v>22141</v>
      </c>
    </row>
    <row r="20">
      <c r="A20" s="1">
        <v>180.0</v>
      </c>
      <c r="B20" s="1">
        <v>2.0</v>
      </c>
      <c r="C20" s="2">
        <f t="shared" si="1"/>
        <v>22143</v>
      </c>
    </row>
    <row r="21">
      <c r="A21" s="1">
        <v>190.0</v>
      </c>
      <c r="B21" s="1">
        <v>0.0</v>
      </c>
      <c r="C21" s="2">
        <f t="shared" si="1"/>
        <v>22143</v>
      </c>
    </row>
    <row r="22">
      <c r="A22" s="1">
        <v>200.0</v>
      </c>
      <c r="B22" s="1">
        <v>0.0</v>
      </c>
      <c r="C22" s="2">
        <f t="shared" si="1"/>
        <v>22143</v>
      </c>
    </row>
    <row r="23">
      <c r="A23" s="1">
        <v>210.0</v>
      </c>
      <c r="B23" s="1">
        <v>0.0</v>
      </c>
      <c r="C23" s="2">
        <f t="shared" si="1"/>
        <v>22143</v>
      </c>
    </row>
    <row r="24">
      <c r="A24" s="1">
        <v>220.0</v>
      </c>
      <c r="B24" s="1">
        <v>1.0</v>
      </c>
      <c r="C24" s="2">
        <f t="shared" si="1"/>
        <v>22144</v>
      </c>
    </row>
    <row r="25">
      <c r="A25" s="1">
        <v>230.0</v>
      </c>
      <c r="B25" s="1">
        <v>0.0</v>
      </c>
      <c r="C25" s="2">
        <f t="shared" si="1"/>
        <v>22144</v>
      </c>
    </row>
    <row r="26">
      <c r="A26" s="1">
        <v>240.0</v>
      </c>
      <c r="B26" s="1">
        <v>0.0</v>
      </c>
      <c r="C26" s="2">
        <f t="shared" si="1"/>
        <v>22144</v>
      </c>
    </row>
    <row r="27">
      <c r="A27" s="1">
        <v>250.0</v>
      </c>
      <c r="B27" s="1">
        <v>0.0</v>
      </c>
      <c r="C27" s="2">
        <f t="shared" si="1"/>
        <v>22144</v>
      </c>
    </row>
    <row r="28">
      <c r="A28" s="1">
        <v>260.0</v>
      </c>
      <c r="B28" s="1">
        <v>0.0</v>
      </c>
      <c r="C28" s="2">
        <f t="shared" si="1"/>
        <v>22144</v>
      </c>
    </row>
    <row r="29">
      <c r="A29" s="1">
        <v>270.0</v>
      </c>
      <c r="B29" s="1">
        <v>0.0</v>
      </c>
      <c r="C29" s="2">
        <f t="shared" si="1"/>
        <v>22144</v>
      </c>
    </row>
    <row r="30">
      <c r="A30" s="1">
        <v>280.0</v>
      </c>
      <c r="B30" s="1">
        <v>0.0</v>
      </c>
      <c r="C30" s="2">
        <f t="shared" si="1"/>
        <v>22144</v>
      </c>
    </row>
    <row r="31">
      <c r="A31" s="1">
        <v>290.0</v>
      </c>
      <c r="B31" s="1">
        <v>0.0</v>
      </c>
      <c r="C31" s="2">
        <f t="shared" si="1"/>
        <v>22144</v>
      </c>
    </row>
    <row r="32">
      <c r="A32" s="1">
        <v>300.0</v>
      </c>
      <c r="B32" s="1">
        <v>1.0</v>
      </c>
      <c r="C32" s="2">
        <f t="shared" si="1"/>
        <v>22145</v>
      </c>
    </row>
    <row r="33">
      <c r="A33" s="1">
        <v>310.0</v>
      </c>
      <c r="B33" s="1">
        <v>0.0</v>
      </c>
      <c r="C33" s="2">
        <f t="shared" si="1"/>
        <v>22145</v>
      </c>
    </row>
    <row r="34">
      <c r="A34" s="1">
        <v>320.0</v>
      </c>
      <c r="B34" s="1">
        <v>0.0</v>
      </c>
      <c r="C34" s="2">
        <f t="shared" si="1"/>
        <v>22145</v>
      </c>
    </row>
    <row r="35">
      <c r="A35" s="1">
        <v>330.0</v>
      </c>
      <c r="B35" s="1">
        <v>0.0</v>
      </c>
      <c r="C35" s="2">
        <f t="shared" si="1"/>
        <v>22145</v>
      </c>
    </row>
    <row r="36">
      <c r="A36" s="1">
        <v>340.0</v>
      </c>
      <c r="B36" s="1">
        <v>1.0</v>
      </c>
      <c r="C36" s="2">
        <f t="shared" si="1"/>
        <v>22146</v>
      </c>
    </row>
    <row r="37">
      <c r="A37" s="1">
        <v>350.0</v>
      </c>
      <c r="B37" s="1">
        <v>0.0</v>
      </c>
      <c r="C37" s="2">
        <f t="shared" si="1"/>
        <v>22146</v>
      </c>
    </row>
    <row r="38">
      <c r="A38" s="1">
        <v>360.0</v>
      </c>
      <c r="B38" s="1">
        <v>1.0</v>
      </c>
      <c r="C38" s="2">
        <f t="shared" si="1"/>
        <v>22147</v>
      </c>
    </row>
    <row r="39">
      <c r="A39" s="1">
        <v>370.0</v>
      </c>
      <c r="B39" s="1">
        <v>1.0</v>
      </c>
      <c r="C39" s="2">
        <f t="shared" si="1"/>
        <v>22148</v>
      </c>
    </row>
    <row r="40">
      <c r="A40" s="1">
        <v>380.0</v>
      </c>
      <c r="B40" s="1">
        <v>0.0</v>
      </c>
      <c r="C40" s="2">
        <f t="shared" si="1"/>
        <v>22148</v>
      </c>
    </row>
    <row r="41">
      <c r="A41" s="1">
        <v>390.0</v>
      </c>
      <c r="B41" s="1">
        <v>0.0</v>
      </c>
      <c r="C41" s="2">
        <f t="shared" si="1"/>
        <v>22148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F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>
      <c r="A2" s="1">
        <v>0.0</v>
      </c>
      <c r="B2" s="1">
        <v>379.0</v>
      </c>
      <c r="C2" s="2">
        <f t="shared" ref="C2:C41" si="1">SUM(B$2:B2)</f>
        <v>379</v>
      </c>
      <c r="F2" s="2">
        <f>SUM(B2:B41)</f>
        <v>22148</v>
      </c>
      <c r="H2" s="1">
        <v>20.0</v>
      </c>
      <c r="I2" s="2">
        <f t="shared" ref="I2:I6" si="2">$F$2*(H2/100)</f>
        <v>4429.6</v>
      </c>
      <c r="J2" s="3">
        <f t="shared" ref="J2:J6" si="3">SMALL($A$2:$A$41,FLOOR(K2,1)) + (SMALL($A$2:$A$41,CEILING(K2,1)) - SMALL($A$2:$A$41,FLOOR(K2,1))) * (K2 - FLOOR(K2,1))</f>
        <v>24</v>
      </c>
      <c r="K2" s="2">
        <f t="shared" ref="K2:K6" si="4">IFERROR(RANK(I2,$C$2:$C$41,1),PERCENTRANK($C$2:$C$41,I2)*COUNT($C$2:$C$41) + 1)</f>
        <v>3.4</v>
      </c>
      <c r="L2" s="2">
        <f t="shared" ref="L2:L6" si="5">1/(((J2*5)/60)/1000)</f>
        <v>500</v>
      </c>
    </row>
    <row r="3">
      <c r="A3" s="1">
        <v>10.0</v>
      </c>
      <c r="B3" s="1">
        <v>847.0</v>
      </c>
      <c r="C3" s="2">
        <f t="shared" si="1"/>
        <v>1226</v>
      </c>
      <c r="H3" s="1">
        <v>30.0</v>
      </c>
      <c r="I3" s="2">
        <f t="shared" si="2"/>
        <v>6644.4</v>
      </c>
      <c r="J3" s="3">
        <f t="shared" si="3"/>
        <v>31.2</v>
      </c>
      <c r="K3" s="2">
        <f t="shared" si="4"/>
        <v>4.12</v>
      </c>
      <c r="L3" s="2">
        <f t="shared" si="5"/>
        <v>384.6153846</v>
      </c>
    </row>
    <row r="4">
      <c r="A4" s="1">
        <v>20.0</v>
      </c>
      <c r="B4" s="1">
        <v>2105.0</v>
      </c>
      <c r="C4" s="2">
        <f t="shared" si="1"/>
        <v>3331</v>
      </c>
      <c r="H4" s="1">
        <v>40.0</v>
      </c>
      <c r="I4" s="2">
        <f t="shared" si="2"/>
        <v>8859.2</v>
      </c>
      <c r="J4" s="3">
        <f t="shared" si="3"/>
        <v>37.6</v>
      </c>
      <c r="K4" s="2">
        <f t="shared" si="4"/>
        <v>4.76</v>
      </c>
      <c r="L4" s="2">
        <f t="shared" si="5"/>
        <v>319.1489362</v>
      </c>
    </row>
    <row r="5">
      <c r="A5" s="1">
        <v>30.0</v>
      </c>
      <c r="B5" s="1">
        <v>3133.0</v>
      </c>
      <c r="C5" s="2">
        <f t="shared" si="1"/>
        <v>6464</v>
      </c>
      <c r="H5" s="1">
        <f>(C6/F2)*100</f>
        <v>45.09662272</v>
      </c>
      <c r="I5" s="2">
        <f t="shared" si="2"/>
        <v>9988</v>
      </c>
      <c r="J5" s="3">
        <f t="shared" si="3"/>
        <v>40</v>
      </c>
      <c r="K5" s="2">
        <f t="shared" si="4"/>
        <v>5</v>
      </c>
      <c r="L5" s="2">
        <f t="shared" si="5"/>
        <v>300</v>
      </c>
    </row>
    <row r="6">
      <c r="A6" s="1">
        <v>40.0</v>
      </c>
      <c r="B6" s="1">
        <v>3524.0</v>
      </c>
      <c r="C6" s="2">
        <f t="shared" si="1"/>
        <v>9988</v>
      </c>
      <c r="H6" s="1">
        <v>50.0</v>
      </c>
      <c r="I6" s="2">
        <f t="shared" si="2"/>
        <v>11074</v>
      </c>
      <c r="J6" s="3">
        <f t="shared" si="3"/>
        <v>44.4</v>
      </c>
      <c r="K6" s="2">
        <f t="shared" si="4"/>
        <v>5.44</v>
      </c>
      <c r="L6" s="2">
        <f t="shared" si="5"/>
        <v>270.2702703</v>
      </c>
    </row>
    <row r="7">
      <c r="A7" s="1">
        <v>50.0</v>
      </c>
      <c r="B7" s="1">
        <v>3290.0</v>
      </c>
      <c r="C7" s="2">
        <f t="shared" si="1"/>
        <v>13278</v>
      </c>
    </row>
    <row r="8">
      <c r="A8" s="1">
        <v>60.0</v>
      </c>
      <c r="B8" s="1">
        <v>2820.0</v>
      </c>
      <c r="C8" s="2">
        <f t="shared" si="1"/>
        <v>16098</v>
      </c>
    </row>
    <row r="9">
      <c r="A9" s="1">
        <v>70.0</v>
      </c>
      <c r="B9" s="1">
        <v>2105.0</v>
      </c>
      <c r="C9" s="2">
        <f t="shared" si="1"/>
        <v>18203</v>
      </c>
    </row>
    <row r="10">
      <c r="A10" s="1">
        <v>80.0</v>
      </c>
      <c r="B10" s="1">
        <v>1620.0</v>
      </c>
      <c r="C10" s="2">
        <f t="shared" si="1"/>
        <v>19823</v>
      </c>
    </row>
    <row r="11">
      <c r="A11" s="1">
        <v>90.0</v>
      </c>
      <c r="B11" s="1">
        <v>1022.0</v>
      </c>
      <c r="C11" s="2">
        <f t="shared" si="1"/>
        <v>20845</v>
      </c>
    </row>
    <row r="12">
      <c r="A12" s="1">
        <v>100.0</v>
      </c>
      <c r="B12" s="1">
        <v>672.0</v>
      </c>
      <c r="C12" s="2">
        <f t="shared" si="1"/>
        <v>21517</v>
      </c>
    </row>
    <row r="13">
      <c r="A13" s="1">
        <v>110.0</v>
      </c>
      <c r="B13" s="1">
        <v>349.0</v>
      </c>
      <c r="C13" s="2">
        <f t="shared" si="1"/>
        <v>21866</v>
      </c>
    </row>
    <row r="14">
      <c r="A14" s="1">
        <v>120.0</v>
      </c>
      <c r="B14" s="1">
        <v>178.0</v>
      </c>
      <c r="C14" s="2">
        <f t="shared" si="1"/>
        <v>22044</v>
      </c>
    </row>
    <row r="15">
      <c r="A15" s="1">
        <v>130.0</v>
      </c>
      <c r="B15" s="1">
        <v>56.0</v>
      </c>
      <c r="C15" s="2">
        <f t="shared" si="1"/>
        <v>22100</v>
      </c>
    </row>
    <row r="16">
      <c r="A16" s="1">
        <v>140.0</v>
      </c>
      <c r="B16" s="1">
        <v>22.0</v>
      </c>
      <c r="C16" s="2">
        <f t="shared" si="1"/>
        <v>22122</v>
      </c>
    </row>
    <row r="17">
      <c r="A17" s="1">
        <v>150.0</v>
      </c>
      <c r="B17" s="1">
        <v>13.0</v>
      </c>
      <c r="C17" s="2">
        <f t="shared" si="1"/>
        <v>22135</v>
      </c>
    </row>
    <row r="18">
      <c r="A18" s="1">
        <v>160.0</v>
      </c>
      <c r="B18" s="1">
        <v>4.0</v>
      </c>
      <c r="C18" s="2">
        <f t="shared" si="1"/>
        <v>22139</v>
      </c>
    </row>
    <row r="19">
      <c r="A19" s="1">
        <v>170.0</v>
      </c>
      <c r="B19" s="1">
        <v>2.0</v>
      </c>
      <c r="C19" s="2">
        <f t="shared" si="1"/>
        <v>22141</v>
      </c>
    </row>
    <row r="20">
      <c r="A20" s="1">
        <v>180.0</v>
      </c>
      <c r="B20" s="1">
        <v>2.0</v>
      </c>
      <c r="C20" s="2">
        <f t="shared" si="1"/>
        <v>22143</v>
      </c>
    </row>
    <row r="21">
      <c r="A21" s="1">
        <v>190.0</v>
      </c>
      <c r="B21" s="1">
        <v>0.0</v>
      </c>
      <c r="C21" s="2">
        <f t="shared" si="1"/>
        <v>22143</v>
      </c>
    </row>
    <row r="22">
      <c r="A22" s="1">
        <v>200.0</v>
      </c>
      <c r="B22" s="1">
        <v>0.0</v>
      </c>
      <c r="C22" s="2">
        <f t="shared" si="1"/>
        <v>22143</v>
      </c>
    </row>
    <row r="23">
      <c r="A23" s="1">
        <v>210.0</v>
      </c>
      <c r="B23" s="1">
        <v>0.0</v>
      </c>
      <c r="C23" s="2">
        <f t="shared" si="1"/>
        <v>22143</v>
      </c>
    </row>
    <row r="24">
      <c r="A24" s="1">
        <v>220.0</v>
      </c>
      <c r="B24" s="1">
        <v>1.0</v>
      </c>
      <c r="C24" s="2">
        <f t="shared" si="1"/>
        <v>22144</v>
      </c>
    </row>
    <row r="25">
      <c r="A25" s="1">
        <v>230.0</v>
      </c>
      <c r="B25" s="1">
        <v>0.0</v>
      </c>
      <c r="C25" s="2">
        <f t="shared" si="1"/>
        <v>22144</v>
      </c>
    </row>
    <row r="26">
      <c r="A26" s="1">
        <v>240.0</v>
      </c>
      <c r="B26" s="1">
        <v>0.0</v>
      </c>
      <c r="C26" s="2">
        <f t="shared" si="1"/>
        <v>22144</v>
      </c>
    </row>
    <row r="27">
      <c r="A27" s="1">
        <v>250.0</v>
      </c>
      <c r="B27" s="1">
        <v>0.0</v>
      </c>
      <c r="C27" s="2">
        <f t="shared" si="1"/>
        <v>22144</v>
      </c>
    </row>
    <row r="28">
      <c r="A28" s="1">
        <v>260.0</v>
      </c>
      <c r="B28" s="1">
        <v>0.0</v>
      </c>
      <c r="C28" s="2">
        <f t="shared" si="1"/>
        <v>22144</v>
      </c>
    </row>
    <row r="29">
      <c r="A29" s="1">
        <v>270.0</v>
      </c>
      <c r="B29" s="1">
        <v>0.0</v>
      </c>
      <c r="C29" s="2">
        <f t="shared" si="1"/>
        <v>22144</v>
      </c>
    </row>
    <row r="30">
      <c r="A30" s="1">
        <v>280.0</v>
      </c>
      <c r="B30" s="1">
        <v>0.0</v>
      </c>
      <c r="C30" s="2">
        <f t="shared" si="1"/>
        <v>22144</v>
      </c>
    </row>
    <row r="31">
      <c r="A31" s="1">
        <v>290.0</v>
      </c>
      <c r="B31" s="1">
        <v>0.0</v>
      </c>
      <c r="C31" s="2">
        <f t="shared" si="1"/>
        <v>22144</v>
      </c>
    </row>
    <row r="32">
      <c r="A32" s="1">
        <v>300.0</v>
      </c>
      <c r="B32" s="1">
        <v>1.0</v>
      </c>
      <c r="C32" s="2">
        <f t="shared" si="1"/>
        <v>22145</v>
      </c>
    </row>
    <row r="33">
      <c r="A33" s="1">
        <v>310.0</v>
      </c>
      <c r="B33" s="1">
        <v>0.0</v>
      </c>
      <c r="C33" s="2">
        <f t="shared" si="1"/>
        <v>22145</v>
      </c>
    </row>
    <row r="34">
      <c r="A34" s="1">
        <v>320.0</v>
      </c>
      <c r="B34" s="1">
        <v>0.0</v>
      </c>
      <c r="C34" s="2">
        <f t="shared" si="1"/>
        <v>22145</v>
      </c>
    </row>
    <row r="35">
      <c r="A35" s="1">
        <v>330.0</v>
      </c>
      <c r="B35" s="1">
        <v>0.0</v>
      </c>
      <c r="C35" s="2">
        <f t="shared" si="1"/>
        <v>22145</v>
      </c>
    </row>
    <row r="36">
      <c r="A36" s="1">
        <v>340.0</v>
      </c>
      <c r="B36" s="1">
        <v>1.0</v>
      </c>
      <c r="C36" s="2">
        <f t="shared" si="1"/>
        <v>22146</v>
      </c>
    </row>
    <row r="37">
      <c r="A37" s="1">
        <v>350.0</v>
      </c>
      <c r="B37" s="1">
        <v>0.0</v>
      </c>
      <c r="C37" s="2">
        <f t="shared" si="1"/>
        <v>22146</v>
      </c>
    </row>
    <row r="38">
      <c r="A38" s="1">
        <v>360.0</v>
      </c>
      <c r="B38" s="1">
        <v>1.0</v>
      </c>
      <c r="C38" s="2">
        <f t="shared" si="1"/>
        <v>22147</v>
      </c>
    </row>
    <row r="39">
      <c r="A39" s="1">
        <v>370.0</v>
      </c>
      <c r="B39" s="1">
        <v>1.0</v>
      </c>
      <c r="C39" s="2">
        <f t="shared" si="1"/>
        <v>22148</v>
      </c>
    </row>
    <row r="40">
      <c r="A40" s="1">
        <v>380.0</v>
      </c>
      <c r="B40" s="1">
        <v>0.0</v>
      </c>
      <c r="C40" s="2">
        <f t="shared" si="1"/>
        <v>22148</v>
      </c>
    </row>
    <row r="41">
      <c r="A41" s="1">
        <v>390.0</v>
      </c>
      <c r="B41" s="1">
        <v>0.0</v>
      </c>
      <c r="C41" s="2">
        <f t="shared" si="1"/>
        <v>22148</v>
      </c>
    </row>
  </sheetData>
  <drawing r:id="rId1"/>
</worksheet>
</file>